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him\Downloads\"/>
    </mc:Choice>
  </mc:AlternateContent>
  <xr:revisionPtr revIDLastSave="0" documentId="13_ncr:1_{97BFD480-86CB-4F36-8C07-4BB2D76240C8}" xr6:coauthVersionLast="47" xr6:coauthVersionMax="47" xr10:uidLastSave="{00000000-0000-0000-0000-000000000000}"/>
  <bookViews>
    <workbookView xWindow="-110" yWindow="-110" windowWidth="19420" windowHeight="10300" firstSheet="2" activeTab="3" xr2:uid="{5F0A02C3-7BF7-4D2A-BE80-9445058783F6}"/>
  </bookViews>
  <sheets>
    <sheet name="Incubators_Presence" sheetId="2" r:id="rId1"/>
    <sheet name="Incubators_Support_Startups" sheetId="3" r:id="rId2"/>
    <sheet name="Funding_to_Startups" sheetId="5" r:id="rId3"/>
    <sheet name="Ministry_Funding" sheetId="7" r:id="rId4"/>
    <sheet name="Ministries_support_Techstartups" sheetId="6" r:id="rId5"/>
  </sheets>
  <definedNames>
    <definedName name="ExternalData_1" localSheetId="2" hidden="1">Funding_to_Startups!$A$1:$D$33</definedName>
    <definedName name="ExternalData_1" localSheetId="0" hidden="1">Incubators_Presence!$A$1:$B$28</definedName>
    <definedName name="ExternalData_1" localSheetId="1" hidden="1">Incubators_Support_Startups!$A$1:$D$33</definedName>
    <definedName name="ExternalData_1" localSheetId="4" hidden="1">Ministries_support_Techstartups!$A$1:$D$12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5" l="1"/>
  <c r="E10" i="5"/>
  <c r="E21" i="5"/>
  <c r="E22" i="5"/>
  <c r="E23" i="5"/>
  <c r="E24" i="5"/>
  <c r="E18" i="5"/>
  <c r="E4" i="5"/>
  <c r="E8" i="5"/>
  <c r="E7" i="5"/>
  <c r="E11" i="5"/>
  <c r="E19" i="5"/>
  <c r="E25" i="5"/>
  <c r="E16" i="5"/>
  <c r="E2" i="5"/>
  <c r="E14" i="5"/>
  <c r="E9" i="5"/>
  <c r="E5" i="5"/>
  <c r="E26" i="5"/>
  <c r="E27" i="5"/>
  <c r="E28" i="5"/>
  <c r="E29" i="5"/>
  <c r="E17" i="5"/>
  <c r="E30" i="5"/>
  <c r="E31" i="5"/>
  <c r="E12" i="5"/>
  <c r="E32" i="5"/>
  <c r="E3" i="5"/>
  <c r="E13" i="5"/>
  <c r="E6" i="5"/>
  <c r="E33" i="5"/>
  <c r="E15" i="5"/>
  <c r="D34" i="5"/>
  <c r="C34" i="5"/>
  <c r="B34" i="5"/>
  <c r="E34" i="5" s="1"/>
  <c r="C8" i="7"/>
  <c r="E34" i="3"/>
  <c r="E31" i="3"/>
  <c r="E15" i="3"/>
  <c r="E32" i="3"/>
  <c r="E16" i="3"/>
  <c r="E14" i="3"/>
  <c r="E21" i="3"/>
  <c r="E23" i="3"/>
  <c r="E6" i="3"/>
  <c r="E19" i="3"/>
  <c r="E5" i="3"/>
  <c r="E9" i="3"/>
  <c r="E20" i="3"/>
  <c r="E27" i="3"/>
  <c r="E25" i="3"/>
  <c r="E3" i="3"/>
  <c r="E13" i="3"/>
  <c r="E10" i="3"/>
  <c r="E2" i="3"/>
  <c r="E28" i="3"/>
  <c r="E33" i="3"/>
  <c r="E29" i="3"/>
  <c r="E26" i="3"/>
  <c r="E12" i="3"/>
  <c r="E24" i="3"/>
  <c r="E18" i="3"/>
  <c r="E11" i="3"/>
  <c r="E30" i="3"/>
  <c r="E4" i="3"/>
  <c r="E8" i="3"/>
  <c r="E7" i="3"/>
  <c r="E22" i="3"/>
  <c r="E17" i="3"/>
  <c r="B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7A628-F367-41AE-BD26-8C451C51D0EF}" keepAlive="1" name="Query - incubationsupport" description="Connection to the 'incubationsupport' query in the workbook." type="5" refreshedVersion="8" background="1" saveData="1">
    <dbPr connection="Provider=Microsoft.Mashup.OleDb.1;Data Source=$Workbook$;Location=incubationsupport;Extended Properties=&quot;&quot;" command="SELECT * FROM [incubationsupport]"/>
  </connection>
  <connection id="2" xr16:uid="{98BD4A17-8A06-4509-90E1-FA7896A5B81F}" keepAlive="1" name="Query - incubators_startup" description="Connection to the 'incubators_startup' query in the workbook." type="5" refreshedVersion="8" background="1" saveData="1">
    <dbPr connection="Provider=Microsoft.Mashup.OleDb.1;Data Source=$Workbook$;Location=incubators_startup;Extended Properties=&quot;&quot;" command="SELECT * FROM [incubators_startup]"/>
  </connection>
  <connection id="3" xr16:uid="{3077E0B1-D679-4CFB-84B5-768930C294B6}" keepAlive="1" name="Query - startup_fuinding" description="Connection to the 'startup_fuinding' query in the workbook." type="5" refreshedVersion="8" background="1" saveData="1">
    <dbPr connection="Provider=Microsoft.Mashup.OleDb.1;Data Source=$Workbook$;Location=startup_fuinding;Extended Properties=&quot;&quot;" command="SELECT * FROM [startup_fuinding]"/>
  </connection>
  <connection id="4" xr16:uid="{E5740FA8-ACB6-4887-A220-332835FB5B41}" keepAlive="1" name="Query - Techstartups" description="Connection to the 'Techstartups' query in the workbook." type="5" refreshedVersion="0" background="1">
    <dbPr connection="Provider=Microsoft.Mashup.OleDb.1;Data Source=$Workbook$;Location=Techstartups;Extended Properties=&quot;&quot;" command="SELECT * FROM [Techstartups]"/>
  </connection>
  <connection id="5" xr16:uid="{44AFAB80-EA25-42B0-B45F-A103E435B9B5}" keepAlive="1" name="Query - Techstartups_help" description="Connection to the 'Techstartups_help' query in the workbook." type="5" refreshedVersion="8" background="1" saveData="1">
    <dbPr connection="Provider=Microsoft.Mashup.OleDb.1;Data Source=$Workbook$;Location=Techstartups_help;Extended Properties=&quot;&quot;" command="SELECT * FROM [Techstartups_help]"/>
  </connection>
</connections>
</file>

<file path=xl/sharedStrings.xml><?xml version="1.0" encoding="utf-8"?>
<sst xmlns="http://schemas.openxmlformats.org/spreadsheetml/2006/main" count="193" uniqueCount="121">
  <si>
    <t>State/UT</t>
  </si>
  <si>
    <t>Number of Incubators</t>
  </si>
  <si>
    <t>Andhra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</si>
  <si>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</si>
  <si>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</si>
  <si>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</si>
  <si>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</si>
  <si>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</si>
  <si>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</si>
  <si>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</si>
  <si>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</si>
  <si>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</si>
  <si>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</si>
  <si>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</si>
  <si>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</si>
  <si>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</si>
  <si>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</si>
  <si>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</si>
  <si>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</si>
  <si>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</si>
  <si>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</si>
  <si>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</si>
  <si>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</si>
  <si>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</si>
  <si>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</si>
  <si>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</si>
  <si>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Uttar Pradesh</t>
  </si>
  <si>
    <t>Uttarakhand</t>
  </si>
  <si>
    <t>West Bengal</t>
  </si>
  <si>
    <t>Number of Startups - 2021</t>
  </si>
  <si>
    <t>Number of Startups - 2022</t>
  </si>
  <si>
    <t>Number of Startups - 2023</t>
  </si>
  <si>
    <t>Andaman and Nicobar Islands</t>
  </si>
  <si>
    <t>Arunachal Pradesh</t>
  </si>
  <si>
    <t>Chandigarh</t>
  </si>
  <si>
    <t>Manipur</t>
  </si>
  <si>
    <t>Meghalaya</t>
  </si>
  <si>
    <t>Amount Approved to Startups (in Rs. Crore) - 2021</t>
  </si>
  <si>
    <t>Amount Approved to Startups (in Rs. Crore) - 2022</t>
  </si>
  <si>
    <t>Amount Approved to Startups (in Rs. Crore) - 2023</t>
  </si>
  <si>
    <t>3.803</t>
  </si>
  <si>
    <t>0.2</t>
  </si>
  <si>
    <t>0.95</t>
  </si>
  <si>
    <t>2.29</t>
  </si>
  <si>
    <t>2.66</t>
  </si>
  <si>
    <t>4.4</t>
  </si>
  <si>
    <t>0.6</t>
  </si>
  <si>
    <t>1.2</t>
  </si>
  <si>
    <t>0.02</t>
  </si>
  <si>
    <t>0.94</t>
  </si>
  <si>
    <t>5.215</t>
  </si>
  <si>
    <t>14.55</t>
  </si>
  <si>
    <t>0.55</t>
  </si>
  <si>
    <t>0.56</t>
  </si>
  <si>
    <t>5.745</t>
  </si>
  <si>
    <t>16.766</t>
  </si>
  <si>
    <t>0.7</t>
  </si>
  <si>
    <t>3.95</t>
  </si>
  <si>
    <t>7.495</t>
  </si>
  <si>
    <t>0.1</t>
  </si>
  <si>
    <t>0.25</t>
  </si>
  <si>
    <t>1.89</t>
  </si>
  <si>
    <t>0.33</t>
  </si>
  <si>
    <t>0.5</t>
  </si>
  <si>
    <t>22.07</t>
  </si>
  <si>
    <t>28.27</t>
  </si>
  <si>
    <t>3.87</t>
  </si>
  <si>
    <t>3.47</t>
  </si>
  <si>
    <t>5.45</t>
  </si>
  <si>
    <t>4.8403</t>
  </si>
  <si>
    <t>16.33</t>
  </si>
  <si>
    <t>39.2045</t>
  </si>
  <si>
    <t>0.05</t>
  </si>
  <si>
    <t>0.4</t>
  </si>
  <si>
    <t>1.21</t>
  </si>
  <si>
    <t>5.0924</t>
  </si>
  <si>
    <t>0.336</t>
  </si>
  <si>
    <t>0.6198</t>
  </si>
  <si>
    <t>0.42</t>
  </si>
  <si>
    <t>1.69</t>
  </si>
  <si>
    <t>2.565</t>
  </si>
  <si>
    <t>6.35</t>
  </si>
  <si>
    <t>7.791</t>
  </si>
  <si>
    <t>14.524</t>
  </si>
  <si>
    <t>9.015</t>
  </si>
  <si>
    <t>12.505</t>
  </si>
  <si>
    <t>5.893</t>
  </si>
  <si>
    <t>10.7098</t>
  </si>
  <si>
    <t>1.4</t>
  </si>
  <si>
    <t>1.26</t>
  </si>
  <si>
    <t>1.7504</t>
  </si>
  <si>
    <t>Ministry/ Department</t>
  </si>
  <si>
    <t>Scheme/ Programme</t>
  </si>
  <si>
    <t>No. of Tech Startups Supported</t>
  </si>
  <si>
    <t>Funding Disbursed (Rs. in Crore)</t>
  </si>
  <si>
    <t>Ministry of Electronics and Information Technology (MeitY)</t>
  </si>
  <si>
    <t>Technology Incubation &amp; Development of Entrepreneurs (TIDE 2.0)</t>
  </si>
  <si>
    <t>Start-up Accelerator Programme of MeitY for Product Innovation, Development and Growth (SAMRIDH)</t>
  </si>
  <si>
    <t>Next Generation Incubation Scheme (NGIS)</t>
  </si>
  <si>
    <t>Theme based Incubation Centres</t>
  </si>
  <si>
    <t>Domain specific Centres of Excellence (CoEs)</t>
  </si>
  <si>
    <t>Digital India Bhashini</t>
  </si>
  <si>
    <t>Chips to Start-up (C2S) Programme</t>
  </si>
  <si>
    <t>Design Linked Incentive (DLI) Scheme</t>
  </si>
  <si>
    <t>NITI Ayog</t>
  </si>
  <si>
    <t>Atal Innovation Mission</t>
  </si>
  <si>
    <t>Department of Science and Technology (DST)</t>
  </si>
  <si>
    <t>Nidhi-Seed Support Programme</t>
  </si>
  <si>
    <t>Department for Promotion of Industry and Internal Trade (DPIIT)</t>
  </si>
  <si>
    <t>Startup India Seed Fund Scheme (SISFS) and Fund of Funds for Startups (FFS) Scheme</t>
  </si>
  <si>
    <t>Sum of Starups Supported</t>
  </si>
  <si>
    <t>Aru0chal Pradesh</t>
  </si>
  <si>
    <t>Harya0</t>
  </si>
  <si>
    <t>Kar0taka</t>
  </si>
  <si>
    <t>0galand</t>
  </si>
  <si>
    <t>Tamil 0du</t>
  </si>
  <si>
    <t>Telanga0</t>
  </si>
  <si>
    <t>Row Labels</t>
  </si>
  <si>
    <t>Sum of No. of Tech Startups Supported</t>
  </si>
  <si>
    <t>Sum of Funding Disbursed (Rs. in Crore)</t>
  </si>
  <si>
    <t>Amount Approved to Startups (in Rs. Crore)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</si>
</sst>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31"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" refreshedDate="45777.982676388892" createdVersion="8" refreshedVersion="8" minRefreshableVersion="3" recordCount="11" xr:uid="{4178A0A0-8767-4C15-864F-87CDCBAEB3C8}">
  <cacheSource type="worksheet">
    <worksheetSource name="Techstartups_help"/>
  </cacheSource>
  <cacheFields count="4">
    <cacheField name="Ministry/ Department" numFmtId="0">
      <sharedItems count="4">
        <s v="Ministry of Electronics and Information Technology (MeitY)"/>
        <s v="NITI Ayog"/>
        <s v="Department of Science and Technology (DST)"/>
        <s v="Department for Promotion of Industry and Internal Trade (DPIIT)"/>
      </sharedItems>
    </cacheField>
    <cacheField name="Scheme/ Programme" numFmtId="0">
      <sharedItems count="11">
        <s v="Technology Incubation &amp; Development of Entrepreneurs (TIDE 2.0)"/>
        <s v="Start-up Accelerator Programme of MeitY for Product Innovation, Development and Growth (SAMRIDH)"/>
        <s v="Next Generation Incubation Scheme (NGIS)"/>
        <s v="Theme based Incubation Centres"/>
        <s v="Domain specific Centres of Excellence (CoEs)"/>
        <s v="Digital India Bhashini"/>
        <s v="Chips to Start-up (C2S) Programme"/>
        <s v="Design Linked Incentive (DLI) Scheme"/>
        <s v="Atal Innovation Mission"/>
        <s v="Nidhi-Seed Support Programme"/>
        <s v="Startup India Seed Fund Scheme (SISFS) and Fund of Funds for Startups (FFS) Scheme"/>
      </sharedItems>
    </cacheField>
    <cacheField name="No. of Tech Startups Supported" numFmtId="0">
      <sharedItems containsSemiMixedTypes="0" containsString="0" containsNumber="1" containsInteger="1" minValue="10" maxValue="4106"/>
    </cacheField>
    <cacheField name="Funding Disbursed (Rs. in Crore)" numFmtId="2">
      <sharedItems containsSemiMixedTypes="0" containsString="0" containsNumber="1" minValue="2.5" maxValue="195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1235"/>
    <n v="125"/>
  </r>
  <r>
    <x v="0"/>
    <x v="1"/>
    <n v="175"/>
    <n v="37.6"/>
  </r>
  <r>
    <x v="0"/>
    <x v="2"/>
    <n v="530"/>
    <n v="23.5"/>
  </r>
  <r>
    <x v="0"/>
    <x v="3"/>
    <n v="398"/>
    <n v="4"/>
  </r>
  <r>
    <x v="0"/>
    <x v="4"/>
    <n v="1205"/>
    <n v="7.3"/>
  </r>
  <r>
    <x v="0"/>
    <x v="5"/>
    <n v="50"/>
    <n v="2.5"/>
  </r>
  <r>
    <x v="0"/>
    <x v="6"/>
    <n v="10"/>
    <n v="5.2"/>
  </r>
  <r>
    <x v="0"/>
    <x v="7"/>
    <n v="35"/>
    <n v="7.3"/>
  </r>
  <r>
    <x v="1"/>
    <x v="8"/>
    <n v="4106"/>
    <n v="18"/>
  </r>
  <r>
    <x v="2"/>
    <x v="9"/>
    <n v="490"/>
    <n v="154"/>
  </r>
  <r>
    <x v="3"/>
    <x v="10"/>
    <n v="1777"/>
    <n v="195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344A9-A46E-4EB9-B695-EE5CB7976DC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C7" firstHeaderRow="0" firstDataRow="1" firstDataCol="1"/>
  <pivotFields count="4">
    <pivotField axis="axisRow" showAll="0">
      <items count="5">
        <item x="3"/>
        <item x="2"/>
        <item x="0"/>
        <item x="1"/>
        <item t="default"/>
      </items>
    </pivotField>
    <pivotField showAll="0">
      <items count="12">
        <item x="8"/>
        <item x="6"/>
        <item x="7"/>
        <item x="5"/>
        <item x="4"/>
        <item x="2"/>
        <item x="9"/>
        <item x="1"/>
        <item x="10"/>
        <item x="0"/>
        <item x="3"/>
        <item t="default"/>
      </items>
    </pivotField>
    <pivotField dataField="1" showAll="0"/>
    <pivotField dataField="1" numFmtId="2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No. of Tech Startups Supported" fld="2" baseField="0" baseItem="0"/>
    <dataField name="Sum of Funding Disbursed (Rs. in Crore)" fld="3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8239F3-0556-4E62-BAC5-613ED1ECBD9D}" autoFormatId="16" applyNumberFormats="0" applyBorderFormats="0" applyFontFormats="0" applyPatternFormats="0" applyAlignmentFormats="0" applyWidthHeightFormats="0">
  <queryTableRefresh nextId="4">
    <queryTableFields count="2">
      <queryTableField id="2" name="State/UT" tableColumnId="2"/>
      <queryTableField id="3" name="Number of Incubators" tableColumnId="3"/>
    </queryTableFields>
    <queryTableDeletedFields count="1">
      <deletedField name="Sl. No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5CA6BC-A130-4270-A206-8FFEF191B772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2" name="State/UT" tableColumnId="2"/>
      <queryTableField id="3" name="Number of Startups - 2021" tableColumnId="3"/>
      <queryTableField id="4" name="Number of Startups - 2022" tableColumnId="4"/>
      <queryTableField id="5" name="Number of Startups - 2023" tableColumnId="5"/>
      <queryTableField id="6" dataBound="0" tableColumnId="1"/>
    </queryTableFields>
    <queryTableDeletedFields count="1">
      <deletedField name="Sl. No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5B15FC9-0086-48C9-8CC4-7A3989F938EE}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8" dataBound="0" tableColumnId="1"/>
    </queryTableFields>
    <queryTableDeletedFields count="1">
      <deletedField name="Column1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6C4DAB9-FEE1-4970-9E09-21FE50EA10D7}" autoFormatId="16" applyNumberFormats="0" applyBorderFormats="0" applyFontFormats="0" applyPatternFormats="0" applyAlignmentFormats="0" applyWidthHeightFormats="0">
  <queryTableRefresh nextId="6">
    <queryTableFields count="4">
      <queryTableField id="2" name="Ministry/ Department" tableColumnId="2"/>
      <queryTableField id="3" name="Scheme/ Programme" tableColumnId="3"/>
      <queryTableField id="4" name="No. of Tech Startups Supported" tableColumnId="4"/>
      <queryTableField id="5" name="Funding Disbursed (Rs. in Crore)" tableColumnId="5"/>
    </queryTableFields>
    <queryTableDeletedFields count="1">
      <deletedField name="Sl. 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4C642-FD2A-4BAF-8A98-6A026AE9A714}" name="incubators_startup" displayName="incubators_startup" ref="A1:B29" tableType="queryTable" totalsRowCount="1">
  <autoFilter ref="A1:B28" xr:uid="{8564C642-FD2A-4BAF-8A98-6A026AE9A714}"/>
  <sortState xmlns:xlrd2="http://schemas.microsoft.com/office/spreadsheetml/2017/richdata2" ref="A2:B28">
    <sortCondition descending="1" ref="B1:B28"/>
  </sortState>
  <tableColumns count="2">
    <tableColumn id="2" xr3:uid="{4ED6A15A-6253-4183-AE7F-A224FAE0B958}" uniqueName="2" name="State/UT" queryTableFieldId="2" dataDxfId="30" totalsRowDxfId="29"/>
    <tableColumn id="3" xr3:uid="{0FDE9869-4116-409C-AB83-C525C75D2F20}" uniqueName="3" name="Number of Incubators" totalsRowFunction="custom" queryTableFieldId="3" dataDxfId="28" totalsRowDxfId="27">
      <totalsRowFormula>SUM(incubators_startup[Number of Incubators])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A08F59-7ACB-47A5-BBDF-6CD230D69EDC}" name="incubationsupport" displayName="incubationsupport" ref="A1:E34" tableType="queryTable" totalsRowCount="1">
  <autoFilter ref="A1:E33" xr:uid="{32A08F59-7ACB-47A5-BBDF-6CD230D69EDC}"/>
  <sortState xmlns:xlrd2="http://schemas.microsoft.com/office/spreadsheetml/2017/richdata2" ref="A2:E33">
    <sortCondition descending="1" ref="E1:E33"/>
  </sortState>
  <tableColumns count="5">
    <tableColumn id="2" xr3:uid="{89DBE995-2A98-4089-979B-481EB0784E04}" uniqueName="2" name="State/UT" queryTableFieldId="2" dataDxfId="26"/>
    <tableColumn id="3" xr3:uid="{82663536-EB40-4922-9BC9-3EB5FB5B0EDA}" uniqueName="3" name="Number of Startups - 2021" queryTableFieldId="3" dataDxfId="25" totalsRowDxfId="17"/>
    <tableColumn id="4" xr3:uid="{2DE6F75E-BC8D-48B8-8A1D-7D495EAEB13F}" uniqueName="4" name="Number of Startups - 2022" queryTableFieldId="4" dataDxfId="24" totalsRowDxfId="16"/>
    <tableColumn id="5" xr3:uid="{8176493F-C5CA-44BD-9B00-64097CBEF5CC}" uniqueName="5" name="Number of Startups - 2023" queryTableFieldId="5" dataDxfId="23" totalsRowDxfId="15"/>
    <tableColumn id="1" xr3:uid="{EDFBC78E-A097-4AC0-9C82-A47024D85C57}" uniqueName="1" name="Sum of Starups Supported" totalsRowFunction="custom" queryTableFieldId="6" dataDxfId="22" totalsRowDxfId="14">
      <calculatedColumnFormula>SUM(B2:D2)</calculatedColumnFormula>
      <totalsRowFormula>SUM(incubationsupport[Sum of Starups Supported])</totalsRow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C21407-0216-4205-8BF1-99D8269BBD42}" name="startup_fuinding" displayName="startup_fuinding" ref="A1:E34" tableType="queryTable" totalsRowCount="1">
  <autoFilter ref="A1:E33" xr:uid="{AFC21407-0216-4205-8BF1-99D8269BBD42}"/>
  <sortState xmlns:xlrd2="http://schemas.microsoft.com/office/spreadsheetml/2017/richdata2" ref="A2:E33">
    <sortCondition descending="1" ref="E1:E33"/>
  </sortState>
  <tableColumns count="5">
    <tableColumn id="2" xr3:uid="{4F8D4A3F-88D6-4E52-8ABF-EF5908C8D78A}" uniqueName="2" name="State/UT" queryTableFieldId="2" dataDxfId="9" totalsRowDxfId="5"/>
    <tableColumn id="3" xr3:uid="{C20ED446-C988-40F4-A5CE-CF08A467C958}" uniqueName="3" name="Amount Approved to Startups (in Rs. Crore) - 2021" totalsRowFunction="custom" queryTableFieldId="3" dataDxfId="8" totalsRowDxfId="4">
      <totalsRowFormula>SUM(startup_fuinding[[#Headers],[#Data],[Amount Approved to Startups (in Rs. Crore) - 2021]])</totalsRowFormula>
    </tableColumn>
    <tableColumn id="4" xr3:uid="{55779E72-5FAE-4B73-8BEE-0C3397DD6253}" uniqueName="4" name="Amount Approved to Startups (in Rs. Crore) - 2022" totalsRowFunction="custom" queryTableFieldId="4" dataDxfId="7" totalsRowDxfId="3">
      <totalsRowFormula>SUM(startup_fuinding[[#Headers],[#Data],[Amount Approved to Startups (in Rs. Crore) - 2022]])</totalsRowFormula>
    </tableColumn>
    <tableColumn id="5" xr3:uid="{197243C9-AC92-40AF-BCE6-BCD6F1AC5F16}" uniqueName="5" name="Amount Approved to Startups (in Rs. Crore) - 2023" totalsRowFunction="custom" queryTableFieldId="5" dataDxfId="6" totalsRowDxfId="2">
      <totalsRowFormula>SUM(startup_fuinding[[#Headers],[#Data],[Amount Approved to Startups (in Rs. Crore) - 2023]])</totalsRowFormula>
    </tableColumn>
    <tableColumn id="1" xr3:uid="{75C042E4-B0E1-4942-8A1B-2484C470F5E0}" uniqueName="1" name="Amount Approved to Startups (in Rs. Crore) - 2024" totalsRowFunction="custom" queryTableFieldId="8" dataDxfId="0" totalsRowDxfId="1">
      <calculatedColumnFormula>SUM(startup_fuinding[[#This Row],[Amount Approved to Startups (in Rs. Crore) - 2021]:[Amount Approved to Startups (in Rs. Crore) - 2023]])</calculatedColumnFormula>
      <totalsRowFormula>SUM(startup_fuinding[[#Totals],[Amount Approved to Startups (in Rs. Crore) - 2021]:[Amount Approved to Startups (in Rs. Crore) - 2023]])</totalsRow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FFE187-4270-4DF9-9FE5-366BBA0F7DB7}" name="Techstartups_help" displayName="Techstartups_help" ref="A1:D13" tableType="queryTable" totalsRowCount="1">
  <autoFilter ref="A1:D12" xr:uid="{42FFE187-4270-4DF9-9FE5-366BBA0F7DB7}"/>
  <tableColumns count="4">
    <tableColumn id="2" xr3:uid="{2734F1EC-245C-4C6A-989D-51102DF55F74}" uniqueName="2" name="Ministry/ Department" queryTableFieldId="2" dataDxfId="21" totalsRowDxfId="13"/>
    <tableColumn id="3" xr3:uid="{770D73D5-D1B6-4714-8AC9-1F1093185F05}" uniqueName="3" name="Scheme/ Programme" queryTableFieldId="3" dataDxfId="20" totalsRowDxfId="12"/>
    <tableColumn id="4" xr3:uid="{3B336725-B867-474B-8C26-6C37AEFC69AE}" uniqueName="4" name="No. of Tech Startups Supported" queryTableFieldId="4" dataDxfId="19" totalsRowDxfId="11"/>
    <tableColumn id="5" xr3:uid="{9C3E2301-4462-426F-A455-97713F8503BC}" uniqueName="5" name="Funding Disbursed (Rs. in Crore)" queryTableFieldId="5" dataDxfId="18" totalsRow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4E9A-BA5E-4F56-8694-91FAB7544B1B}">
  <dimension ref="A1:B29"/>
  <sheetViews>
    <sheetView workbookViewId="0">
      <pane ySplit="1" topLeftCell="A19" activePane="bottomLeft" state="frozen"/>
      <selection pane="bottomLeft" activeCell="D22" sqref="D22"/>
    </sheetView>
  </sheetViews>
  <sheetFormatPr defaultRowHeight="14.5" x14ac:dyDescent="0.35"/>
  <cols>
    <col min="1" max="1" width="17.81640625" bestFit="1" customWidth="1"/>
    <col min="2" max="2" width="21.7265625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16</v>
      </c>
      <c r="B2" s="1">
        <v>28</v>
      </c>
    </row>
    <row r="3" spans="1:2" x14ac:dyDescent="0.35">
      <c r="A3" t="s">
        <v>8</v>
      </c>
      <c r="B3" s="1">
        <v>20</v>
      </c>
    </row>
    <row r="4" spans="1:2" x14ac:dyDescent="0.35">
      <c r="A4" t="s">
        <v>24</v>
      </c>
      <c r="B4" s="1">
        <v>20</v>
      </c>
    </row>
    <row r="5" spans="1:2" x14ac:dyDescent="0.35">
      <c r="A5" t="s">
        <v>13</v>
      </c>
      <c r="B5" s="1">
        <v>19</v>
      </c>
    </row>
    <row r="6" spans="1:2" x14ac:dyDescent="0.35">
      <c r="A6" t="s">
        <v>6</v>
      </c>
      <c r="B6" s="1">
        <v>11</v>
      </c>
    </row>
    <row r="7" spans="1:2" x14ac:dyDescent="0.35">
      <c r="A7" t="s">
        <v>22</v>
      </c>
      <c r="B7" s="1">
        <v>11</v>
      </c>
    </row>
    <row r="8" spans="1:2" x14ac:dyDescent="0.35">
      <c r="A8" t="s">
        <v>25</v>
      </c>
      <c r="B8" s="1">
        <v>11</v>
      </c>
    </row>
    <row r="9" spans="1:2" x14ac:dyDescent="0.35">
      <c r="A9" t="s">
        <v>19</v>
      </c>
      <c r="B9" s="1">
        <v>10</v>
      </c>
    </row>
    <row r="10" spans="1:2" x14ac:dyDescent="0.35">
      <c r="A10" t="s">
        <v>26</v>
      </c>
      <c r="B10" s="1">
        <v>10</v>
      </c>
    </row>
    <row r="11" spans="1:2" x14ac:dyDescent="0.35">
      <c r="A11" t="s">
        <v>21</v>
      </c>
      <c r="B11" s="1">
        <v>9</v>
      </c>
    </row>
    <row r="12" spans="1:2" x14ac:dyDescent="0.35">
      <c r="A12" t="s">
        <v>2</v>
      </c>
      <c r="B12" s="1">
        <v>6</v>
      </c>
    </row>
    <row r="13" spans="1:2" x14ac:dyDescent="0.35">
      <c r="A13" t="s">
        <v>15</v>
      </c>
      <c r="B13" s="1">
        <v>6</v>
      </c>
    </row>
    <row r="14" spans="1:2" x14ac:dyDescent="0.35">
      <c r="A14" t="s">
        <v>9</v>
      </c>
      <c r="B14" s="1">
        <v>5</v>
      </c>
    </row>
    <row r="15" spans="1:2" x14ac:dyDescent="0.35">
      <c r="A15" t="s">
        <v>14</v>
      </c>
      <c r="B15" s="1">
        <v>5</v>
      </c>
    </row>
    <row r="16" spans="1:2" x14ac:dyDescent="0.35">
      <c r="A16" t="s">
        <v>4</v>
      </c>
      <c r="B16" s="1">
        <v>4</v>
      </c>
    </row>
    <row r="17" spans="1:2" x14ac:dyDescent="0.35">
      <c r="A17" t="s">
        <v>7</v>
      </c>
      <c r="B17" s="1">
        <v>4</v>
      </c>
    </row>
    <row r="18" spans="1:2" x14ac:dyDescent="0.35">
      <c r="A18" t="s">
        <v>10</v>
      </c>
      <c r="B18" s="1">
        <v>3</v>
      </c>
    </row>
    <row r="19" spans="1:2" x14ac:dyDescent="0.35">
      <c r="A19" t="s">
        <v>3</v>
      </c>
      <c r="B19" s="1">
        <v>2</v>
      </c>
    </row>
    <row r="20" spans="1:2" x14ac:dyDescent="0.35">
      <c r="A20" t="s">
        <v>5</v>
      </c>
      <c r="B20" s="1">
        <v>2</v>
      </c>
    </row>
    <row r="21" spans="1:2" x14ac:dyDescent="0.35">
      <c r="A21" t="s">
        <v>17</v>
      </c>
      <c r="B21" s="1">
        <v>2</v>
      </c>
    </row>
    <row r="22" spans="1:2" x14ac:dyDescent="0.35">
      <c r="A22" t="s">
        <v>18</v>
      </c>
      <c r="B22" s="1">
        <v>2</v>
      </c>
    </row>
    <row r="23" spans="1:2" x14ac:dyDescent="0.35">
      <c r="A23" t="s">
        <v>20</v>
      </c>
      <c r="B23" s="1">
        <v>2</v>
      </c>
    </row>
    <row r="24" spans="1:2" x14ac:dyDescent="0.35">
      <c r="A24" t="s">
        <v>27</v>
      </c>
      <c r="B24" s="1">
        <v>2</v>
      </c>
    </row>
    <row r="25" spans="1:2" x14ac:dyDescent="0.35">
      <c r="A25" t="s">
        <v>11</v>
      </c>
      <c r="B25" s="1">
        <v>1</v>
      </c>
    </row>
    <row r="26" spans="1:2" x14ac:dyDescent="0.35">
      <c r="A26" t="s">
        <v>12</v>
      </c>
      <c r="B26" s="1">
        <v>1</v>
      </c>
    </row>
    <row r="27" spans="1:2" x14ac:dyDescent="0.35">
      <c r="A27" t="s">
        <v>23</v>
      </c>
      <c r="B27" s="1">
        <v>1</v>
      </c>
    </row>
    <row r="28" spans="1:2" x14ac:dyDescent="0.35">
      <c r="A28" t="s">
        <v>28</v>
      </c>
      <c r="B28" s="1">
        <v>1</v>
      </c>
    </row>
    <row r="29" spans="1:2" x14ac:dyDescent="0.35">
      <c r="B29" s="1">
        <f>SUM(incubators_startup[Number of Incubators])</f>
        <v>198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0369-A77F-4420-875A-F8C6AC76FFA6}">
  <dimension ref="A1:E34"/>
  <sheetViews>
    <sheetView workbookViewId="0">
      <pane ySplit="1" topLeftCell="A2" activePane="bottomLeft" state="frozen"/>
      <selection pane="bottomLeft" activeCell="D30" sqref="D30"/>
    </sheetView>
  </sheetViews>
  <sheetFormatPr defaultRowHeight="14.5" x14ac:dyDescent="0.35"/>
  <cols>
    <col min="1" max="1" width="26.08984375" bestFit="1" customWidth="1"/>
    <col min="2" max="4" width="27.7265625" bestFit="1" customWidth="1"/>
    <col min="5" max="5" width="25.26953125" bestFit="1" customWidth="1"/>
  </cols>
  <sheetData>
    <row r="1" spans="1:5" x14ac:dyDescent="0.35">
      <c r="A1" t="s">
        <v>0</v>
      </c>
      <c r="B1" s="1" t="s">
        <v>29</v>
      </c>
      <c r="C1" s="1" t="s">
        <v>30</v>
      </c>
      <c r="D1" s="1" t="s">
        <v>31</v>
      </c>
      <c r="E1" t="s">
        <v>110</v>
      </c>
    </row>
    <row r="2" spans="1:5" x14ac:dyDescent="0.35">
      <c r="A2" t="s">
        <v>16</v>
      </c>
      <c r="B2" s="1">
        <v>24</v>
      </c>
      <c r="C2" s="1">
        <v>89</v>
      </c>
      <c r="D2" s="1">
        <v>206</v>
      </c>
      <c r="E2" s="1">
        <f t="shared" ref="E2:E33" si="0">SUM(B2:D2)</f>
        <v>319</v>
      </c>
    </row>
    <row r="3" spans="1:5" x14ac:dyDescent="0.35">
      <c r="A3" t="s">
        <v>13</v>
      </c>
      <c r="B3" s="1">
        <v>27</v>
      </c>
      <c r="C3" s="1">
        <v>105</v>
      </c>
      <c r="D3" s="1">
        <v>122</v>
      </c>
      <c r="E3" s="1">
        <f t="shared" si="0"/>
        <v>254</v>
      </c>
    </row>
    <row r="4" spans="1:5" x14ac:dyDescent="0.35">
      <c r="A4" t="s">
        <v>24</v>
      </c>
      <c r="B4" s="1">
        <v>20</v>
      </c>
      <c r="C4" s="1">
        <v>36</v>
      </c>
      <c r="D4" s="1">
        <v>99</v>
      </c>
      <c r="E4" s="1">
        <f t="shared" si="0"/>
        <v>155</v>
      </c>
    </row>
    <row r="5" spans="1:5" x14ac:dyDescent="0.35">
      <c r="A5" t="s">
        <v>8</v>
      </c>
      <c r="B5" s="1">
        <v>8</v>
      </c>
      <c r="C5" s="1">
        <v>44</v>
      </c>
      <c r="D5" s="1">
        <v>84</v>
      </c>
      <c r="E5" s="1">
        <f t="shared" si="0"/>
        <v>136</v>
      </c>
    </row>
    <row r="6" spans="1:5" x14ac:dyDescent="0.35">
      <c r="A6" t="s">
        <v>6</v>
      </c>
      <c r="B6" s="1">
        <v>11</v>
      </c>
      <c r="C6" s="1">
        <v>27</v>
      </c>
      <c r="D6" s="1">
        <v>76</v>
      </c>
      <c r="E6" s="1">
        <f t="shared" si="0"/>
        <v>114</v>
      </c>
    </row>
    <row r="7" spans="1:5" x14ac:dyDescent="0.35">
      <c r="A7" t="s">
        <v>26</v>
      </c>
      <c r="B7" s="1">
        <v>15</v>
      </c>
      <c r="C7" s="1">
        <v>32</v>
      </c>
      <c r="D7" s="1">
        <v>65</v>
      </c>
      <c r="E7" s="1">
        <f t="shared" si="0"/>
        <v>112</v>
      </c>
    </row>
    <row r="8" spans="1:5" x14ac:dyDescent="0.35">
      <c r="A8" t="s">
        <v>25</v>
      </c>
      <c r="B8" s="1">
        <v>5</v>
      </c>
      <c r="C8" s="1">
        <v>47</v>
      </c>
      <c r="D8" s="1">
        <v>52</v>
      </c>
      <c r="E8" s="1">
        <f t="shared" si="0"/>
        <v>104</v>
      </c>
    </row>
    <row r="9" spans="1:5" x14ac:dyDescent="0.35">
      <c r="A9" t="s">
        <v>9</v>
      </c>
      <c r="B9" s="1">
        <v>5</v>
      </c>
      <c r="C9" s="1">
        <v>27</v>
      </c>
      <c r="D9" s="1">
        <v>49</v>
      </c>
      <c r="E9" s="1">
        <f t="shared" si="0"/>
        <v>81</v>
      </c>
    </row>
    <row r="10" spans="1:5" x14ac:dyDescent="0.35">
      <c r="A10" t="s">
        <v>15</v>
      </c>
      <c r="B10" s="1">
        <v>2</v>
      </c>
      <c r="C10" s="1">
        <v>37</v>
      </c>
      <c r="D10" s="1">
        <v>35</v>
      </c>
      <c r="E10" s="1">
        <f t="shared" si="0"/>
        <v>74</v>
      </c>
    </row>
    <row r="11" spans="1:5" x14ac:dyDescent="0.35">
      <c r="A11" t="s">
        <v>22</v>
      </c>
      <c r="B11" s="1">
        <v>3</v>
      </c>
      <c r="C11" s="1">
        <v>16</v>
      </c>
      <c r="D11" s="1">
        <v>46</v>
      </c>
      <c r="E11" s="1">
        <f t="shared" si="0"/>
        <v>65</v>
      </c>
    </row>
    <row r="12" spans="1:5" x14ac:dyDescent="0.35">
      <c r="A12" t="s">
        <v>19</v>
      </c>
      <c r="B12" s="1">
        <v>2</v>
      </c>
      <c r="C12" s="1">
        <v>11</v>
      </c>
      <c r="D12" s="1">
        <v>35</v>
      </c>
      <c r="E12" s="1">
        <f t="shared" si="0"/>
        <v>48</v>
      </c>
    </row>
    <row r="13" spans="1:5" x14ac:dyDescent="0.35">
      <c r="A13" t="s">
        <v>14</v>
      </c>
      <c r="B13" s="1">
        <v>7</v>
      </c>
      <c r="C13" s="1">
        <v>19</v>
      </c>
      <c r="D13" s="1">
        <v>21</v>
      </c>
      <c r="E13" s="1">
        <f t="shared" si="0"/>
        <v>47</v>
      </c>
    </row>
    <row r="14" spans="1:5" x14ac:dyDescent="0.35">
      <c r="A14" t="s">
        <v>4</v>
      </c>
      <c r="B14" s="1">
        <v>1</v>
      </c>
      <c r="C14" s="1">
        <v>11</v>
      </c>
      <c r="D14" s="1">
        <v>24</v>
      </c>
      <c r="E14" s="1">
        <f t="shared" si="0"/>
        <v>36</v>
      </c>
    </row>
    <row r="15" spans="1:5" x14ac:dyDescent="0.35">
      <c r="A15" t="s">
        <v>2</v>
      </c>
      <c r="B15" s="1">
        <v>0</v>
      </c>
      <c r="C15" s="1">
        <v>7</v>
      </c>
      <c r="D15" s="1">
        <v>25</v>
      </c>
      <c r="E15" s="1">
        <f t="shared" si="0"/>
        <v>32</v>
      </c>
    </row>
    <row r="16" spans="1:5" x14ac:dyDescent="0.35">
      <c r="A16" t="s">
        <v>3</v>
      </c>
      <c r="B16" s="1">
        <v>1</v>
      </c>
      <c r="C16" s="1">
        <v>9</v>
      </c>
      <c r="D16" s="1">
        <v>14</v>
      </c>
      <c r="E16" s="1">
        <f t="shared" si="0"/>
        <v>24</v>
      </c>
    </row>
    <row r="17" spans="1:5" x14ac:dyDescent="0.35">
      <c r="A17" t="s">
        <v>28</v>
      </c>
      <c r="B17" s="1">
        <v>4</v>
      </c>
      <c r="C17" s="1">
        <v>11</v>
      </c>
      <c r="D17" s="1">
        <v>9</v>
      </c>
      <c r="E17" s="1">
        <f t="shared" si="0"/>
        <v>24</v>
      </c>
    </row>
    <row r="18" spans="1:5" x14ac:dyDescent="0.35">
      <c r="A18" t="s">
        <v>21</v>
      </c>
      <c r="B18" s="1">
        <v>0</v>
      </c>
      <c r="C18" s="1">
        <v>4</v>
      </c>
      <c r="D18" s="1">
        <v>16</v>
      </c>
      <c r="E18" s="1">
        <f t="shared" si="0"/>
        <v>20</v>
      </c>
    </row>
    <row r="19" spans="1:5" x14ac:dyDescent="0.35">
      <c r="A19" t="s">
        <v>7</v>
      </c>
      <c r="B19" s="1">
        <v>7</v>
      </c>
      <c r="C19" s="1">
        <v>6</v>
      </c>
      <c r="D19" s="1">
        <v>4</v>
      </c>
      <c r="E19" s="1">
        <f t="shared" si="0"/>
        <v>17</v>
      </c>
    </row>
    <row r="20" spans="1:5" x14ac:dyDescent="0.35">
      <c r="A20" t="s">
        <v>10</v>
      </c>
      <c r="B20" s="1">
        <v>1</v>
      </c>
      <c r="C20" s="1">
        <v>2</v>
      </c>
      <c r="D20" s="1">
        <v>11</v>
      </c>
      <c r="E20" s="1">
        <f t="shared" si="0"/>
        <v>14</v>
      </c>
    </row>
    <row r="21" spans="1:5" x14ac:dyDescent="0.35">
      <c r="A21" t="s">
        <v>34</v>
      </c>
      <c r="B21" s="1">
        <v>0</v>
      </c>
      <c r="C21" s="1">
        <v>4</v>
      </c>
      <c r="D21" s="1">
        <v>9</v>
      </c>
      <c r="E21" s="1">
        <f t="shared" si="0"/>
        <v>13</v>
      </c>
    </row>
    <row r="22" spans="1:5" x14ac:dyDescent="0.35">
      <c r="A22" t="s">
        <v>27</v>
      </c>
      <c r="B22" s="1">
        <v>0</v>
      </c>
      <c r="C22" s="1">
        <v>6</v>
      </c>
      <c r="D22" s="1">
        <v>5</v>
      </c>
      <c r="E22" s="1">
        <f t="shared" si="0"/>
        <v>11</v>
      </c>
    </row>
    <row r="23" spans="1:5" x14ac:dyDescent="0.35">
      <c r="A23" t="s">
        <v>5</v>
      </c>
      <c r="B23" s="1">
        <v>1</v>
      </c>
      <c r="C23" s="1">
        <v>4</v>
      </c>
      <c r="D23" s="1">
        <v>3</v>
      </c>
      <c r="E23" s="1">
        <f t="shared" si="0"/>
        <v>8</v>
      </c>
    </row>
    <row r="24" spans="1:5" x14ac:dyDescent="0.35">
      <c r="A24" t="s">
        <v>20</v>
      </c>
      <c r="B24" s="1">
        <v>0</v>
      </c>
      <c r="C24" s="1">
        <v>5</v>
      </c>
      <c r="D24" s="1">
        <v>2</v>
      </c>
      <c r="E24" s="1">
        <f t="shared" si="0"/>
        <v>7</v>
      </c>
    </row>
    <row r="25" spans="1:5" x14ac:dyDescent="0.35">
      <c r="A25" t="s">
        <v>12</v>
      </c>
      <c r="B25" s="1">
        <v>2</v>
      </c>
      <c r="C25" s="1">
        <v>2</v>
      </c>
      <c r="D25" s="1">
        <v>2</v>
      </c>
      <c r="E25" s="1">
        <f t="shared" si="0"/>
        <v>6</v>
      </c>
    </row>
    <row r="26" spans="1:5" x14ac:dyDescent="0.35">
      <c r="A26" t="s">
        <v>18</v>
      </c>
      <c r="B26" s="1">
        <v>0</v>
      </c>
      <c r="C26" s="1">
        <v>1</v>
      </c>
      <c r="D26" s="1">
        <v>4</v>
      </c>
      <c r="E26" s="1">
        <f t="shared" si="0"/>
        <v>5</v>
      </c>
    </row>
    <row r="27" spans="1:5" x14ac:dyDescent="0.35">
      <c r="A27" t="s">
        <v>11</v>
      </c>
      <c r="B27" s="1">
        <v>0</v>
      </c>
      <c r="C27" s="1">
        <v>1</v>
      </c>
      <c r="D27" s="1">
        <v>3</v>
      </c>
      <c r="E27" s="1">
        <f t="shared" si="0"/>
        <v>4</v>
      </c>
    </row>
    <row r="28" spans="1:5" x14ac:dyDescent="0.35">
      <c r="A28" t="s">
        <v>35</v>
      </c>
      <c r="B28" s="1">
        <v>0</v>
      </c>
      <c r="C28" s="1">
        <v>2</v>
      </c>
      <c r="D28" s="1">
        <v>1</v>
      </c>
      <c r="E28" s="1">
        <f t="shared" si="0"/>
        <v>3</v>
      </c>
    </row>
    <row r="29" spans="1:5" x14ac:dyDescent="0.35">
      <c r="A29" t="s">
        <v>17</v>
      </c>
      <c r="B29" s="1">
        <v>0</v>
      </c>
      <c r="C29" s="1">
        <v>0</v>
      </c>
      <c r="D29" s="1">
        <v>2</v>
      </c>
      <c r="E29" s="1">
        <f t="shared" si="0"/>
        <v>2</v>
      </c>
    </row>
    <row r="30" spans="1:5" x14ac:dyDescent="0.35">
      <c r="A30" t="s">
        <v>23</v>
      </c>
      <c r="B30" s="1">
        <v>0</v>
      </c>
      <c r="C30" s="1">
        <v>2</v>
      </c>
      <c r="D30" s="1">
        <v>0</v>
      </c>
      <c r="E30" s="1">
        <f t="shared" si="0"/>
        <v>2</v>
      </c>
    </row>
    <row r="31" spans="1:5" x14ac:dyDescent="0.35">
      <c r="A31" t="s">
        <v>32</v>
      </c>
      <c r="B31" s="1">
        <v>0</v>
      </c>
      <c r="C31" s="1">
        <v>0</v>
      </c>
      <c r="D31" s="1">
        <v>1</v>
      </c>
      <c r="E31" s="1">
        <f t="shared" si="0"/>
        <v>1</v>
      </c>
    </row>
    <row r="32" spans="1:5" x14ac:dyDescent="0.35">
      <c r="A32" t="s">
        <v>33</v>
      </c>
      <c r="B32" s="1">
        <v>0</v>
      </c>
      <c r="C32" s="1">
        <v>1</v>
      </c>
      <c r="D32" s="1">
        <v>0</v>
      </c>
      <c r="E32" s="1">
        <f t="shared" si="0"/>
        <v>1</v>
      </c>
    </row>
    <row r="33" spans="1:5" x14ac:dyDescent="0.35">
      <c r="A33" t="s">
        <v>36</v>
      </c>
      <c r="B33" s="1">
        <v>0</v>
      </c>
      <c r="C33" s="1">
        <v>1</v>
      </c>
      <c r="D33" s="1">
        <v>0</v>
      </c>
      <c r="E33" s="1">
        <f t="shared" si="0"/>
        <v>1</v>
      </c>
    </row>
    <row r="34" spans="1:5" x14ac:dyDescent="0.35">
      <c r="B34" s="1"/>
      <c r="C34" s="1"/>
      <c r="D34" s="1"/>
      <c r="E34" s="1">
        <f>SUM(incubationsupport[Sum of Starups Supported])</f>
        <v>1740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14DB-6F39-435D-87E5-116B91E86A70}">
  <dimension ref="A1:E34"/>
  <sheetViews>
    <sheetView zoomScale="98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26.08984375" bestFit="1" customWidth="1"/>
    <col min="2" max="4" width="43.26953125" bestFit="1" customWidth="1"/>
  </cols>
  <sheetData>
    <row r="1" spans="1:5" x14ac:dyDescent="0.35">
      <c r="A1" t="s">
        <v>0</v>
      </c>
      <c r="B1" s="1" t="s">
        <v>37</v>
      </c>
      <c r="C1" s="1" t="s">
        <v>38</v>
      </c>
      <c r="D1" s="1" t="s">
        <v>39</v>
      </c>
      <c r="E1" t="s">
        <v>120</v>
      </c>
    </row>
    <row r="2" spans="1:5" x14ac:dyDescent="0.35">
      <c r="A2" t="s">
        <v>113</v>
      </c>
      <c r="B2" s="12">
        <v>4.07</v>
      </c>
      <c r="C2" s="2" t="s">
        <v>64</v>
      </c>
      <c r="D2" s="2" t="s">
        <v>65</v>
      </c>
      <c r="E2">
        <f>SUM(startup_fuinding[[#This Row],[Amount Approved to Startups (in Rs. Crore) - 2021]:[Amount Approved to Startups (in Rs. Crore) - 2023]])</f>
        <v>4.07</v>
      </c>
    </row>
    <row r="3" spans="1:5" x14ac:dyDescent="0.35">
      <c r="A3" t="s">
        <v>115</v>
      </c>
      <c r="B3" s="14">
        <v>3.0249999999999999</v>
      </c>
      <c r="C3" s="2" t="s">
        <v>82</v>
      </c>
      <c r="D3" s="2" t="s">
        <v>83</v>
      </c>
      <c r="E3">
        <f>SUM(startup_fuinding[[#This Row],[Amount Approved to Startups (in Rs. Crore) - 2021]:[Amount Approved to Startups (in Rs. Crore) - 2023]])</f>
        <v>3.0249999999999999</v>
      </c>
    </row>
    <row r="4" spans="1:5" x14ac:dyDescent="0.35">
      <c r="A4" t="s">
        <v>6</v>
      </c>
      <c r="B4" s="14">
        <v>2.2400000000000002</v>
      </c>
      <c r="C4" s="2" t="s">
        <v>50</v>
      </c>
      <c r="D4" s="2" t="s">
        <v>51</v>
      </c>
      <c r="E4">
        <f>SUM(startup_fuinding[[#This Row],[Amount Approved to Startups (in Rs. Crore) - 2021]:[Amount Approved to Startups (in Rs. Crore) - 2023]])</f>
        <v>2.2400000000000002</v>
      </c>
    </row>
    <row r="5" spans="1:5" x14ac:dyDescent="0.35">
      <c r="A5" t="s">
        <v>16</v>
      </c>
      <c r="B5" s="10">
        <v>2.2000000000000002</v>
      </c>
      <c r="C5" s="2" t="s">
        <v>70</v>
      </c>
      <c r="D5" s="2" t="s">
        <v>71</v>
      </c>
      <c r="E5">
        <f>SUM(startup_fuinding[[#This Row],[Amount Approved to Startups (in Rs. Crore) - 2021]:[Amount Approved to Startups (in Rs. Crore) - 2023]])</f>
        <v>2.2000000000000002</v>
      </c>
    </row>
    <row r="6" spans="1:5" x14ac:dyDescent="0.35">
      <c r="A6" t="s">
        <v>26</v>
      </c>
      <c r="B6" s="10">
        <v>2.0049999999999999</v>
      </c>
      <c r="C6" s="2" t="s">
        <v>86</v>
      </c>
      <c r="D6" s="2" t="s">
        <v>87</v>
      </c>
      <c r="E6">
        <f>SUM(startup_fuinding[[#This Row],[Amount Approved to Startups (in Rs. Crore) - 2021]:[Amount Approved to Startups (in Rs. Crore) - 2023]])</f>
        <v>2.0049999999999999</v>
      </c>
    </row>
    <row r="7" spans="1:5" x14ac:dyDescent="0.35">
      <c r="A7" t="s">
        <v>8</v>
      </c>
      <c r="B7" s="8">
        <v>1.2</v>
      </c>
      <c r="C7" s="2" t="s">
        <v>54</v>
      </c>
      <c r="D7" s="2" t="s">
        <v>55</v>
      </c>
      <c r="E7">
        <f>SUM(startup_fuinding[[#This Row],[Amount Approved to Startups (in Rs. Crore) - 2021]:[Amount Approved to Startups (in Rs. Crore) - 2023]])</f>
        <v>1.2</v>
      </c>
    </row>
    <row r="8" spans="1:5" x14ac:dyDescent="0.35">
      <c r="A8" t="s">
        <v>7</v>
      </c>
      <c r="B8" s="12">
        <v>0.9</v>
      </c>
      <c r="C8" s="2" t="s">
        <v>52</v>
      </c>
      <c r="D8" s="2" t="s">
        <v>53</v>
      </c>
      <c r="E8">
        <f>SUM(startup_fuinding[[#This Row],[Amount Approved to Startups (in Rs. Crore) - 2021]:[Amount Approved to Startups (in Rs. Crore) - 2023]])</f>
        <v>0.9</v>
      </c>
    </row>
    <row r="9" spans="1:5" x14ac:dyDescent="0.35">
      <c r="A9" t="s">
        <v>15</v>
      </c>
      <c r="B9" s="11">
        <v>0.8</v>
      </c>
      <c r="C9" s="2" t="s">
        <v>68</v>
      </c>
      <c r="D9" s="2" t="s">
        <v>69</v>
      </c>
      <c r="E9">
        <f>SUM(startup_fuinding[[#This Row],[Amount Approved to Startups (in Rs. Crore) - 2021]:[Amount Approved to Startups (in Rs. Crore) - 2023]])</f>
        <v>0.8</v>
      </c>
    </row>
    <row r="10" spans="1:5" x14ac:dyDescent="0.35">
      <c r="A10" t="s">
        <v>2</v>
      </c>
      <c r="B10" s="13">
        <v>0</v>
      </c>
      <c r="C10" s="2">
        <v>0.78</v>
      </c>
      <c r="D10" s="2" t="s">
        <v>40</v>
      </c>
      <c r="E10">
        <f>SUM(startup_fuinding[[#This Row],[Amount Approved to Startups (in Rs. Crore) - 2021]:[Amount Approved to Startups (in Rs. Crore) - 2023]])</f>
        <v>0.78</v>
      </c>
    </row>
    <row r="11" spans="1:5" x14ac:dyDescent="0.35">
      <c r="A11" t="s">
        <v>112</v>
      </c>
      <c r="B11" s="11">
        <v>0.7</v>
      </c>
      <c r="C11" s="2" t="s">
        <v>57</v>
      </c>
      <c r="D11" s="2" t="s">
        <v>58</v>
      </c>
      <c r="E11">
        <f>SUM(startup_fuinding[[#This Row],[Amount Approved to Startups (in Rs. Crore) - 2021]:[Amount Approved to Startups (in Rs. Crore) - 2023]])</f>
        <v>0.7</v>
      </c>
    </row>
    <row r="12" spans="1:5" x14ac:dyDescent="0.35">
      <c r="A12" t="s">
        <v>22</v>
      </c>
      <c r="B12" s="10">
        <v>0.7</v>
      </c>
      <c r="C12" s="2" t="s">
        <v>80</v>
      </c>
      <c r="D12" s="2" t="s">
        <v>81</v>
      </c>
      <c r="E12">
        <f>SUM(startup_fuinding[[#This Row],[Amount Approved to Startups (in Rs. Crore) - 2021]:[Amount Approved to Startups (in Rs. Crore) - 2023]])</f>
        <v>0.7</v>
      </c>
    </row>
    <row r="13" spans="1:5" x14ac:dyDescent="0.35">
      <c r="A13" t="s">
        <v>116</v>
      </c>
      <c r="B13" s="11">
        <v>0.65</v>
      </c>
      <c r="C13" s="2" t="s">
        <v>84</v>
      </c>
      <c r="D13" s="2" t="s">
        <v>85</v>
      </c>
      <c r="E13">
        <f>SUM(startup_fuinding[[#This Row],[Amount Approved to Startups (in Rs. Crore) - 2021]:[Amount Approved to Startups (in Rs. Crore) - 2023]])</f>
        <v>0.65</v>
      </c>
    </row>
    <row r="14" spans="1:5" x14ac:dyDescent="0.35">
      <c r="A14" t="s">
        <v>14</v>
      </c>
      <c r="B14" s="10">
        <v>0.6</v>
      </c>
      <c r="C14" s="2" t="s">
        <v>66</v>
      </c>
      <c r="D14" s="2" t="s">
        <v>67</v>
      </c>
      <c r="E14">
        <f>SUM(startup_fuinding[[#This Row],[Amount Approved to Startups (in Rs. Crore) - 2021]:[Amount Approved to Startups (in Rs. Crore) - 2023]])</f>
        <v>0.6</v>
      </c>
    </row>
    <row r="15" spans="1:5" x14ac:dyDescent="0.35">
      <c r="A15" t="s">
        <v>28</v>
      </c>
      <c r="B15" s="10">
        <v>0.56499999999999995</v>
      </c>
      <c r="C15" s="2" t="s">
        <v>89</v>
      </c>
      <c r="D15" s="2" t="s">
        <v>90</v>
      </c>
      <c r="E15">
        <f>SUM(startup_fuinding[[#This Row],[Amount Approved to Startups (in Rs. Crore) - 2021]:[Amount Approved to Startups (in Rs. Crore) - 2023]])</f>
        <v>0.56499999999999995</v>
      </c>
    </row>
    <row r="16" spans="1:5" x14ac:dyDescent="0.35">
      <c r="A16" t="s">
        <v>12</v>
      </c>
      <c r="B16" s="10">
        <v>0.5</v>
      </c>
      <c r="C16" s="2" t="s">
        <v>52</v>
      </c>
      <c r="D16" s="2" t="s">
        <v>52</v>
      </c>
      <c r="E16">
        <f>SUM(startup_fuinding[[#This Row],[Amount Approved to Startups (in Rs. Crore) - 2021]:[Amount Approved to Startups (in Rs. Crore) - 2023]])</f>
        <v>0.5</v>
      </c>
    </row>
    <row r="17" spans="1:5" x14ac:dyDescent="0.35">
      <c r="A17" t="s">
        <v>19</v>
      </c>
      <c r="B17" s="11">
        <v>0.4</v>
      </c>
      <c r="C17" s="2" t="s">
        <v>74</v>
      </c>
      <c r="D17" s="2" t="s">
        <v>75</v>
      </c>
      <c r="E17">
        <f>SUM(startup_fuinding[[#This Row],[Amount Approved to Startups (in Rs. Crore) - 2021]:[Amount Approved to Startups (in Rs. Crore) - 2023]])</f>
        <v>0.4</v>
      </c>
    </row>
    <row r="18" spans="1:5" x14ac:dyDescent="0.35">
      <c r="A18" t="s">
        <v>5</v>
      </c>
      <c r="B18" s="15">
        <v>0.2</v>
      </c>
      <c r="C18" s="2" t="s">
        <v>48</v>
      </c>
      <c r="D18" s="2" t="s">
        <v>49</v>
      </c>
      <c r="E18">
        <f>SUM(startup_fuinding[[#This Row],[Amount Approved to Startups (in Rs. Crore) - 2021]:[Amount Approved to Startups (in Rs. Crore) - 2023]])</f>
        <v>0.2</v>
      </c>
    </row>
    <row r="19" spans="1:5" x14ac:dyDescent="0.35">
      <c r="A19" t="s">
        <v>10</v>
      </c>
      <c r="B19" s="10">
        <v>0.1</v>
      </c>
      <c r="C19" s="2" t="s">
        <v>60</v>
      </c>
      <c r="D19" s="2" t="s">
        <v>61</v>
      </c>
      <c r="E19">
        <f>SUM(startup_fuinding[[#This Row],[Amount Approved to Startups (in Rs. Crore) - 2021]:[Amount Approved to Startups (in Rs. Crore) - 2023]])</f>
        <v>0.1</v>
      </c>
    </row>
    <row r="20" spans="1:5" x14ac:dyDescent="0.35">
      <c r="A20" t="s">
        <v>32</v>
      </c>
      <c r="B20" s="13">
        <v>0</v>
      </c>
      <c r="C20" s="2">
        <v>0</v>
      </c>
      <c r="D20" s="2">
        <v>0.04</v>
      </c>
      <c r="E20">
        <f>SUM(startup_fuinding[[#This Row],[Amount Approved to Startups (in Rs. Crore) - 2021]:[Amount Approved to Startups (in Rs. Crore) - 2023]])</f>
        <v>0.04</v>
      </c>
    </row>
    <row r="21" spans="1:5" x14ac:dyDescent="0.35">
      <c r="A21" t="s">
        <v>111</v>
      </c>
      <c r="B21" s="13">
        <v>0</v>
      </c>
      <c r="C21" s="2" t="s">
        <v>41</v>
      </c>
      <c r="D21" s="2">
        <v>0</v>
      </c>
      <c r="E21">
        <f>SUM(startup_fuinding[[#This Row],[Amount Approved to Startups (in Rs. Crore) - 2021]:[Amount Approved to Startups (in Rs. Crore) - 2023]])</f>
        <v>0</v>
      </c>
    </row>
    <row r="22" spans="1:5" x14ac:dyDescent="0.35">
      <c r="A22" t="s">
        <v>3</v>
      </c>
      <c r="B22" s="8">
        <v>0</v>
      </c>
      <c r="C22" s="2" t="s">
        <v>42</v>
      </c>
      <c r="D22" s="2" t="s">
        <v>43</v>
      </c>
      <c r="E22">
        <f>SUM(startup_fuinding[[#This Row],[Amount Approved to Startups (in Rs. Crore) - 2021]:[Amount Approved to Startups (in Rs. Crore) - 2023]])</f>
        <v>0</v>
      </c>
    </row>
    <row r="23" spans="1:5" x14ac:dyDescent="0.35">
      <c r="A23" t="s">
        <v>4</v>
      </c>
      <c r="B23" s="9">
        <v>0</v>
      </c>
      <c r="C23" s="2" t="s">
        <v>44</v>
      </c>
      <c r="D23" s="2" t="s">
        <v>45</v>
      </c>
      <c r="E23">
        <f>SUM(startup_fuinding[[#This Row],[Amount Approved to Startups (in Rs. Crore) - 2021]:[Amount Approved to Startups (in Rs. Crore) - 2023]])</f>
        <v>0</v>
      </c>
    </row>
    <row r="24" spans="1:5" x14ac:dyDescent="0.35">
      <c r="A24" t="s">
        <v>34</v>
      </c>
      <c r="B24" s="8">
        <v>0</v>
      </c>
      <c r="C24" s="2" t="s">
        <v>46</v>
      </c>
      <c r="D24" s="2" t="s">
        <v>47</v>
      </c>
      <c r="E24">
        <f>SUM(startup_fuinding[[#This Row],[Amount Approved to Startups (in Rs. Crore) - 2021]:[Amount Approved to Startups (in Rs. Crore) - 2023]])</f>
        <v>0</v>
      </c>
    </row>
    <row r="25" spans="1:5" x14ac:dyDescent="0.35">
      <c r="A25" t="s">
        <v>11</v>
      </c>
      <c r="B25" s="9">
        <v>0</v>
      </c>
      <c r="C25" s="2" t="s">
        <v>59</v>
      </c>
      <c r="D25" s="2" t="s">
        <v>62</v>
      </c>
      <c r="E25">
        <f>SUM(startup_fuinding[[#This Row],[Amount Approved to Startups (in Rs. Crore) - 2021]:[Amount Approved to Startups (in Rs. Crore) - 2023]])</f>
        <v>0</v>
      </c>
    </row>
    <row r="26" spans="1:5" x14ac:dyDescent="0.35">
      <c r="A26" t="s">
        <v>35</v>
      </c>
      <c r="B26" s="9">
        <v>0</v>
      </c>
      <c r="C26" s="2" t="s">
        <v>60</v>
      </c>
      <c r="D26" s="2" t="s">
        <v>72</v>
      </c>
      <c r="E26">
        <f>SUM(startup_fuinding[[#This Row],[Amount Approved to Startups (in Rs. Crore) - 2021]:[Amount Approved to Startups (in Rs. Crore) - 2023]])</f>
        <v>0</v>
      </c>
    </row>
    <row r="27" spans="1:5" x14ac:dyDescent="0.35">
      <c r="A27" t="s">
        <v>36</v>
      </c>
      <c r="B27" s="8">
        <v>0</v>
      </c>
      <c r="C27" s="2" t="s">
        <v>41</v>
      </c>
      <c r="D27" s="2">
        <v>0</v>
      </c>
      <c r="E27">
        <f>SUM(startup_fuinding[[#This Row],[Amount Approved to Startups (in Rs. Crore) - 2021]:[Amount Approved to Startups (in Rs. Crore) - 2023]])</f>
        <v>0</v>
      </c>
    </row>
    <row r="28" spans="1:5" x14ac:dyDescent="0.35">
      <c r="A28" t="s">
        <v>17</v>
      </c>
      <c r="B28" s="9">
        <v>0</v>
      </c>
      <c r="C28" s="2">
        <v>0</v>
      </c>
      <c r="D28" s="2" t="s">
        <v>73</v>
      </c>
      <c r="E28">
        <f>SUM(startup_fuinding[[#This Row],[Amount Approved to Startups (in Rs. Crore) - 2021]:[Amount Approved to Startups (in Rs. Crore) - 2023]])</f>
        <v>0</v>
      </c>
    </row>
    <row r="29" spans="1:5" x14ac:dyDescent="0.35">
      <c r="A29" t="s">
        <v>114</v>
      </c>
      <c r="B29" s="8">
        <v>0</v>
      </c>
      <c r="C29" s="2" t="s">
        <v>60</v>
      </c>
      <c r="D29" s="2" t="s">
        <v>63</v>
      </c>
      <c r="E29">
        <f>SUM(startup_fuinding[[#This Row],[Amount Approved to Startups (in Rs. Crore) - 2021]:[Amount Approved to Startups (in Rs. Crore) - 2023]])</f>
        <v>0</v>
      </c>
    </row>
    <row r="30" spans="1:5" x14ac:dyDescent="0.35">
      <c r="A30" t="s">
        <v>20</v>
      </c>
      <c r="B30" s="8">
        <v>0</v>
      </c>
      <c r="C30" s="2" t="s">
        <v>76</v>
      </c>
      <c r="D30" s="2" t="s">
        <v>77</v>
      </c>
      <c r="E30">
        <f>SUM(startup_fuinding[[#This Row],[Amount Approved to Startups (in Rs. Crore) - 2021]:[Amount Approved to Startups (in Rs. Crore) - 2023]])</f>
        <v>0</v>
      </c>
    </row>
    <row r="31" spans="1:5" x14ac:dyDescent="0.35">
      <c r="A31" t="s">
        <v>21</v>
      </c>
      <c r="B31" s="9">
        <v>0</v>
      </c>
      <c r="C31" s="2" t="s">
        <v>78</v>
      </c>
      <c r="D31" s="2" t="s">
        <v>79</v>
      </c>
      <c r="E31">
        <f>SUM(startup_fuinding[[#This Row],[Amount Approved to Startups (in Rs. Crore) - 2021]:[Amount Approved to Startups (in Rs. Crore) - 2023]])</f>
        <v>0</v>
      </c>
    </row>
    <row r="32" spans="1:5" x14ac:dyDescent="0.35">
      <c r="A32" t="s">
        <v>23</v>
      </c>
      <c r="B32" s="9">
        <v>0</v>
      </c>
      <c r="C32" s="2" t="s">
        <v>41</v>
      </c>
      <c r="D32" s="2">
        <v>0</v>
      </c>
      <c r="E32">
        <f>SUM(startup_fuinding[[#This Row],[Amount Approved to Startups (in Rs. Crore) - 2021]:[Amount Approved to Startups (in Rs. Crore) - 2023]])</f>
        <v>0</v>
      </c>
    </row>
    <row r="33" spans="1:5" x14ac:dyDescent="0.35">
      <c r="A33" t="s">
        <v>27</v>
      </c>
      <c r="B33" s="9">
        <v>0</v>
      </c>
      <c r="C33" s="2" t="s">
        <v>56</v>
      </c>
      <c r="D33" s="2" t="s">
        <v>88</v>
      </c>
      <c r="E33">
        <f>SUM(startup_fuinding[[#This Row],[Amount Approved to Startups (in Rs. Crore) - 2021]:[Amount Approved to Startups (in Rs. Crore) - 2023]])</f>
        <v>0</v>
      </c>
    </row>
    <row r="34" spans="1:5" x14ac:dyDescent="0.35">
      <c r="A34" s="6"/>
      <c r="B34" s="7">
        <f>SUM(startup_fuinding[[#Headers],[#Data],[Amount Approved to Startups (in Rs. Crore) - 2021]])</f>
        <v>20.854999999999997</v>
      </c>
      <c r="C34" s="7">
        <f>SUM(startup_fuinding[[#Headers],[#Data],[Amount Approved to Startups (in Rs. Crore) - 2022]])</f>
        <v>0.78</v>
      </c>
      <c r="D34" s="7">
        <f>SUM(startup_fuinding[[#Headers],[#Data],[Amount Approved to Startups (in Rs. Crore) - 2023]])</f>
        <v>0.04</v>
      </c>
      <c r="E34" s="1">
        <f>SUM(startup_fuinding[[#Totals],[Amount Approved to Startups (in Rs. Crore) - 2021]:[Amount Approved to Startups (in Rs. Crore) - 2023]])</f>
        <v>21.674999999999997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E8DA-8812-4B81-93EF-F3029D733071}">
  <dimension ref="A3:C8"/>
  <sheetViews>
    <sheetView tabSelected="1" workbookViewId="0">
      <selection activeCell="A4" sqref="A4"/>
    </sheetView>
  </sheetViews>
  <sheetFormatPr defaultRowHeight="14.5" x14ac:dyDescent="0.35"/>
  <cols>
    <col min="1" max="1" width="55.6328125" bestFit="1" customWidth="1"/>
    <col min="2" max="2" width="33.90625" bestFit="1" customWidth="1"/>
    <col min="3" max="3" width="34.36328125" bestFit="1" customWidth="1"/>
    <col min="4" max="4" width="51" bestFit="1" customWidth="1"/>
    <col min="5" max="5" width="8.7265625" bestFit="1" customWidth="1"/>
    <col min="6" max="6" width="10.7265625" bestFit="1" customWidth="1"/>
    <col min="7" max="7" width="37.26953125" bestFit="1" customWidth="1"/>
    <col min="8" max="8" width="27.6328125" bestFit="1" customWidth="1"/>
    <col min="9" max="9" width="89.26953125" bestFit="1" customWidth="1"/>
    <col min="10" max="10" width="72.7265625" bestFit="1" customWidth="1"/>
    <col min="11" max="11" width="57.6328125" bestFit="1" customWidth="1"/>
    <col min="12" max="12" width="28.7265625" bestFit="1" customWidth="1"/>
    <col min="13" max="13" width="10.7265625" bestFit="1" customWidth="1"/>
  </cols>
  <sheetData>
    <row r="3" spans="1:3" x14ac:dyDescent="0.35">
      <c r="A3" s="3" t="s">
        <v>117</v>
      </c>
      <c r="B3" t="s">
        <v>118</v>
      </c>
      <c r="C3" t="s">
        <v>119</v>
      </c>
    </row>
    <row r="4" spans="1:3" x14ac:dyDescent="0.35">
      <c r="A4" s="4" t="s">
        <v>108</v>
      </c>
      <c r="B4">
        <v>1777</v>
      </c>
      <c r="C4" s="5">
        <v>195.8</v>
      </c>
    </row>
    <row r="5" spans="1:3" x14ac:dyDescent="0.35">
      <c r="A5" s="4" t="s">
        <v>106</v>
      </c>
      <c r="B5">
        <v>490</v>
      </c>
      <c r="C5" s="5">
        <v>154</v>
      </c>
    </row>
    <row r="6" spans="1:3" x14ac:dyDescent="0.35">
      <c r="A6" s="4" t="s">
        <v>95</v>
      </c>
      <c r="B6">
        <v>3638</v>
      </c>
      <c r="C6" s="5">
        <v>212.4</v>
      </c>
    </row>
    <row r="7" spans="1:3" x14ac:dyDescent="0.35">
      <c r="A7" s="4" t="s">
        <v>104</v>
      </c>
      <c r="B7">
        <v>4106</v>
      </c>
      <c r="C7" s="5">
        <v>18</v>
      </c>
    </row>
    <row r="8" spans="1:3" x14ac:dyDescent="0.35">
      <c r="C8">
        <f>SUM(C3:C7)</f>
        <v>580.20000000000005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0325-7D97-4368-B7C3-73F16FAC01F5}">
  <dimension ref="A1:D13"/>
  <sheetViews>
    <sheetView topLeftCell="B1" workbookViewId="0">
      <pane ySplit="1" topLeftCell="A2" activePane="bottomLeft" state="frozen"/>
      <selection activeCell="B1" sqref="B1"/>
      <selection pane="bottomLeft" activeCell="D14" sqref="D14"/>
    </sheetView>
  </sheetViews>
  <sheetFormatPr defaultRowHeight="14.5" x14ac:dyDescent="0.35"/>
  <cols>
    <col min="1" max="1" width="55.6328125" bestFit="1" customWidth="1"/>
    <col min="2" max="2" width="88.26953125" bestFit="1" customWidth="1"/>
    <col min="3" max="3" width="29.7265625" bestFit="1" customWidth="1"/>
    <col min="4" max="4" width="30.1796875" bestFit="1" customWidth="1"/>
  </cols>
  <sheetData>
    <row r="1" spans="1:4" x14ac:dyDescent="0.35">
      <c r="A1" t="s">
        <v>91</v>
      </c>
      <c r="B1" t="s">
        <v>92</v>
      </c>
      <c r="C1" t="s">
        <v>93</v>
      </c>
      <c r="D1" t="s">
        <v>94</v>
      </c>
    </row>
    <row r="2" spans="1:4" x14ac:dyDescent="0.35">
      <c r="A2" t="s">
        <v>95</v>
      </c>
      <c r="B2" t="s">
        <v>96</v>
      </c>
      <c r="C2" s="1">
        <v>1235</v>
      </c>
      <c r="D2" s="2">
        <v>125</v>
      </c>
    </row>
    <row r="3" spans="1:4" x14ac:dyDescent="0.35">
      <c r="A3" t="s">
        <v>95</v>
      </c>
      <c r="B3" t="s">
        <v>97</v>
      </c>
      <c r="C3" s="1">
        <v>175</v>
      </c>
      <c r="D3" s="2">
        <v>37.6</v>
      </c>
    </row>
    <row r="4" spans="1:4" x14ac:dyDescent="0.35">
      <c r="A4" t="s">
        <v>95</v>
      </c>
      <c r="B4" t="s">
        <v>98</v>
      </c>
      <c r="C4" s="1">
        <v>530</v>
      </c>
      <c r="D4" s="2">
        <v>23.5</v>
      </c>
    </row>
    <row r="5" spans="1:4" x14ac:dyDescent="0.35">
      <c r="A5" t="s">
        <v>95</v>
      </c>
      <c r="B5" t="s">
        <v>99</v>
      </c>
      <c r="C5" s="1">
        <v>398</v>
      </c>
      <c r="D5" s="2">
        <v>4</v>
      </c>
    </row>
    <row r="6" spans="1:4" x14ac:dyDescent="0.35">
      <c r="A6" t="s">
        <v>95</v>
      </c>
      <c r="B6" t="s">
        <v>100</v>
      </c>
      <c r="C6" s="1">
        <v>1205</v>
      </c>
      <c r="D6" s="2">
        <v>7.3</v>
      </c>
    </row>
    <row r="7" spans="1:4" x14ac:dyDescent="0.35">
      <c r="A7" t="s">
        <v>95</v>
      </c>
      <c r="B7" t="s">
        <v>101</v>
      </c>
      <c r="C7" s="1">
        <v>50</v>
      </c>
      <c r="D7" s="2">
        <v>2.5</v>
      </c>
    </row>
    <row r="8" spans="1:4" x14ac:dyDescent="0.35">
      <c r="A8" t="s">
        <v>95</v>
      </c>
      <c r="B8" t="s">
        <v>102</v>
      </c>
      <c r="C8" s="1">
        <v>10</v>
      </c>
      <c r="D8" s="2">
        <v>5.2</v>
      </c>
    </row>
    <row r="9" spans="1:4" x14ac:dyDescent="0.35">
      <c r="A9" t="s">
        <v>95</v>
      </c>
      <c r="B9" t="s">
        <v>103</v>
      </c>
      <c r="C9" s="1">
        <v>35</v>
      </c>
      <c r="D9" s="2">
        <v>7.3</v>
      </c>
    </row>
    <row r="10" spans="1:4" x14ac:dyDescent="0.35">
      <c r="A10" t="s">
        <v>104</v>
      </c>
      <c r="B10" t="s">
        <v>105</v>
      </c>
      <c r="C10" s="1">
        <v>4106</v>
      </c>
      <c r="D10" s="2">
        <v>18</v>
      </c>
    </row>
    <row r="11" spans="1:4" x14ac:dyDescent="0.35">
      <c r="A11" t="s">
        <v>106</v>
      </c>
      <c r="B11" t="s">
        <v>107</v>
      </c>
      <c r="C11" s="1">
        <v>490</v>
      </c>
      <c r="D11" s="2">
        <v>154</v>
      </c>
    </row>
    <row r="12" spans="1:4" x14ac:dyDescent="0.35">
      <c r="A12" t="s">
        <v>108</v>
      </c>
      <c r="B12" t="s">
        <v>109</v>
      </c>
      <c r="C12" s="1">
        <v>1777</v>
      </c>
      <c r="D12" s="2">
        <v>195.8</v>
      </c>
    </row>
    <row r="13" spans="1:4" x14ac:dyDescent="0.35">
      <c r="A13" s="6"/>
      <c r="B13" s="6"/>
      <c r="C13" s="1"/>
      <c r="D13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5BF156-6D6C-411B-AB12-842F5102E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Incubators_Presence</vt:lpstr>
      <vt:lpstr>Incubators_Support_Startups</vt:lpstr>
      <vt:lpstr>Funding_to_Startups</vt:lpstr>
      <vt:lpstr>Ministry_Funding</vt:lpstr>
      <vt:lpstr>Ministries_support_Techstartups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DUA</dc:creator>
  <cp:lastModifiedBy>MAHIMA DUA</cp:lastModifiedBy>
  <dcterms:created xsi:type="dcterms:W3CDTF">2025-04-30T17:13:10Z</dcterms:created>
  <dcterms:modified xsi:type="dcterms:W3CDTF">2025-04-30T18:39:38Z</dcterms:modified>
</cp:coreProperties>
</file>